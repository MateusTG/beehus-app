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m Young Kim\Downloads\"/>
    </mc:Choice>
  </mc:AlternateContent>
  <xr:revisionPtr revIDLastSave="0" documentId="8_{939109E3-954E-4891-918E-20AC26D6A7CA}" xr6:coauthVersionLast="47" xr6:coauthVersionMax="47" xr10:uidLastSave="{00000000-0000-0000-0000-000000000000}"/>
  <bookViews>
    <workbookView xWindow="-110" yWindow="-110" windowWidth="29020" windowHeight="17500" xr2:uid="{D1660B41-5A7C-45C5-A98A-C66D427717A0}"/>
  </bookViews>
  <sheets>
    <sheet name="CREDITO (CARREGO)" sheetId="1" r:id="rId1"/>
    <sheet name="CREDITO (ATIVO)" sheetId="3" r:id="rId2"/>
    <sheet name="MULTIMERCADO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0" i="3"/>
  <c r="G12" i="3"/>
  <c r="G13" i="3" s="1"/>
  <c r="G14" i="3" s="1"/>
  <c r="G15" i="3" s="1"/>
  <c r="G16" i="3" s="1"/>
  <c r="G17" i="3" s="1"/>
  <c r="G18" i="3" s="1"/>
  <c r="G19" i="3" s="1"/>
  <c r="G10" i="3"/>
  <c r="G9" i="3"/>
  <c r="G8" i="3"/>
  <c r="G7" i="3" s="1"/>
  <c r="N6" i="3"/>
  <c r="O6" i="3" s="1"/>
  <c r="P6" i="3" s="1"/>
  <c r="Q6" i="3" s="1"/>
  <c r="R6" i="3" s="1"/>
  <c r="L6" i="3"/>
  <c r="K6" i="3"/>
  <c r="J6" i="3" s="1"/>
  <c r="I6" i="3" s="1"/>
  <c r="H6" i="3" s="1"/>
  <c r="B5" i="2"/>
  <c r="B22" i="2" s="1"/>
  <c r="G12" i="2"/>
  <c r="G13" i="2" s="1"/>
  <c r="G14" i="2" s="1"/>
  <c r="G15" i="2" s="1"/>
  <c r="G16" i="2" s="1"/>
  <c r="G17" i="2" s="1"/>
  <c r="G18" i="2" s="1"/>
  <c r="G19" i="2" s="1"/>
  <c r="G10" i="2"/>
  <c r="G9" i="2" s="1"/>
  <c r="G8" i="2" s="1"/>
  <c r="G7" i="2" s="1"/>
  <c r="B12" i="2"/>
  <c r="N6" i="2"/>
  <c r="O6" i="2" s="1"/>
  <c r="P6" i="2" s="1"/>
  <c r="Q6" i="2" s="1"/>
  <c r="R6" i="2" s="1"/>
  <c r="L6" i="2"/>
  <c r="K6" i="2"/>
  <c r="J6" i="2" s="1"/>
  <c r="I6" i="2" s="1"/>
  <c r="H6" i="2" s="1"/>
  <c r="G12" i="1"/>
  <c r="G13" i="1" s="1"/>
  <c r="G14" i="1" s="1"/>
  <c r="G15" i="1" s="1"/>
  <c r="G16" i="1" s="1"/>
  <c r="G17" i="1" s="1"/>
  <c r="G18" i="1" s="1"/>
  <c r="G19" i="1" s="1"/>
  <c r="G10" i="1"/>
  <c r="G9" i="1" s="1"/>
  <c r="G8" i="1" s="1"/>
  <c r="G7" i="1" s="1"/>
  <c r="N6" i="1"/>
  <c r="O6" i="1" s="1"/>
  <c r="P6" i="1" s="1"/>
  <c r="Q6" i="1" s="1"/>
  <c r="R6" i="1" s="1"/>
  <c r="L6" i="1"/>
  <c r="K6" i="1" s="1"/>
  <c r="J6" i="1" s="1"/>
  <c r="I6" i="1" s="1"/>
  <c r="H6" i="1" s="1"/>
  <c r="B10" i="1"/>
  <c r="B13" i="1"/>
  <c r="B14" i="1" s="1"/>
  <c r="B15" i="1" s="1"/>
  <c r="B15" i="3" l="1"/>
  <c r="B14" i="3"/>
  <c r="B20" i="3"/>
  <c r="B19" i="1"/>
  <c r="B16" i="1"/>
  <c r="B19" i="3" l="1"/>
  <c r="B16" i="3"/>
  <c r="B20" i="1"/>
  <c r="B21" i="1" s="1"/>
  <c r="G6" i="1" s="1"/>
  <c r="B15" i="2"/>
  <c r="B17" i="2" s="1"/>
  <c r="B21" i="3" l="1"/>
  <c r="G6" i="3" s="1"/>
  <c r="B21" i="2"/>
  <c r="B16" i="2"/>
  <c r="B18" i="2" s="1"/>
  <c r="B23" i="2" l="1"/>
  <c r="G6" i="2" s="1"/>
</calcChain>
</file>

<file path=xl/sharedStrings.xml><?xml version="1.0" encoding="utf-8"?>
<sst xmlns="http://schemas.openxmlformats.org/spreadsheetml/2006/main" count="70" uniqueCount="30">
  <si>
    <t>CDI</t>
  </si>
  <si>
    <t>SPREAD</t>
  </si>
  <si>
    <t>PERFORMANCE</t>
  </si>
  <si>
    <t>DO CDI</t>
  </si>
  <si>
    <t>CALCULO</t>
  </si>
  <si>
    <t>CDI + SPREAD</t>
  </si>
  <si>
    <t>HURDLE</t>
  </si>
  <si>
    <t>TX HURDLE</t>
  </si>
  <si>
    <t>TX ADM</t>
  </si>
  <si>
    <t>CUSTOS</t>
  </si>
  <si>
    <t>POS TX ADM</t>
  </si>
  <si>
    <t>POS TX PERF</t>
  </si>
  <si>
    <t>TX PERF</t>
  </si>
  <si>
    <t>REMUNERAÇÃO</t>
  </si>
  <si>
    <t>GESTOR</t>
  </si>
  <si>
    <t>INVESTIDOR</t>
  </si>
  <si>
    <t>DELTA</t>
  </si>
  <si>
    <t>% DO INVESTIDOR</t>
  </si>
  <si>
    <t>VOL</t>
  </si>
  <si>
    <t>VOL (aa)</t>
  </si>
  <si>
    <t>I.S</t>
  </si>
  <si>
    <t>ALFA</t>
  </si>
  <si>
    <t>CDI + ALFA</t>
  </si>
  <si>
    <t>BRUTO S/ TX ADM</t>
  </si>
  <si>
    <t>RETORNO TOTAL</t>
  </si>
  <si>
    <t>%CDI</t>
  </si>
  <si>
    <t>RET %CDI</t>
  </si>
  <si>
    <t>RET EQUIVALENTE</t>
  </si>
  <si>
    <t>CORPORATE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</si>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</sst>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10" fontId="2" fillId="0" borderId="0" xfId="0" applyNumberFormat="1" applyFont="1"/>
    <xf numFmtId="10" fontId="2" fillId="0" borderId="0" xfId="1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2" fontId="2" fillId="0" borderId="0" xfId="0" applyNumberFormat="1" applyFont="1"/>
    <xf numFmtId="10" fontId="0" fillId="2" borderId="0" xfId="0" applyNumberFormat="1" applyFill="1"/>
    <xf numFmtId="10" fontId="1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C821-A266-4816-A06F-F4A02F8E53A1}">
  <dimension ref="A1:R21"/>
  <sheetViews>
    <sheetView tabSelected="1" workbookViewId="0">
      <selection activeCell="B44" sqref="B44"/>
    </sheetView>
  </sheetViews>
  <sheetFormatPr defaultRowHeight="14.5" x14ac:dyDescent="0.35"/>
  <cols>
    <col min="1" max="1" width="15.26953125" bestFit="1" customWidth="1"/>
    <col min="2" max="2" width="20.08984375" bestFit="1" customWidth="1"/>
  </cols>
  <sheetData>
    <row r="1" spans="1:18" x14ac:dyDescent="0.35">
      <c r="D1" t="s">
        <v>16</v>
      </c>
    </row>
    <row r="2" spans="1:18" x14ac:dyDescent="0.35">
      <c r="A2" t="s">
        <v>0</v>
      </c>
      <c r="B2" s="10">
        <v>0.1</v>
      </c>
      <c r="D2" t="s">
        <v>0</v>
      </c>
      <c r="E2" s="2">
        <v>5.0000000000000001E-3</v>
      </c>
      <c r="L2" s="2"/>
    </row>
    <row r="3" spans="1:18" x14ac:dyDescent="0.35">
      <c r="A3" t="s">
        <v>1</v>
      </c>
      <c r="B3" s="10">
        <v>1.7500000000000002E-2</v>
      </c>
      <c r="D3" t="s">
        <v>1</v>
      </c>
      <c r="E3" s="2">
        <v>5.0000000000000001E-4</v>
      </c>
    </row>
    <row r="5" spans="1:18" x14ac:dyDescent="0.35">
      <c r="A5" t="s">
        <v>9</v>
      </c>
      <c r="M5" s="7" t="s">
        <v>0</v>
      </c>
    </row>
    <row r="6" spans="1:18" x14ac:dyDescent="0.35">
      <c r="A6" t="s">
        <v>8</v>
      </c>
      <c r="B6" s="2">
        <v>6.0000000000000001E-3</v>
      </c>
      <c r="G6" s="2">
        <f>B21</f>
        <v>0.58810841886630205</v>
      </c>
      <c r="H6" s="5">
        <f>I6-$E$2</f>
        <v>7.4999999999999983E-2</v>
      </c>
      <c r="I6" s="5">
        <f>J6-$E$2</f>
        <v>7.9999999999999988E-2</v>
      </c>
      <c r="J6" s="5">
        <f>K6-$E$2</f>
        <v>8.4999999999999992E-2</v>
      </c>
      <c r="K6" s="5">
        <f>L6-$E$2</f>
        <v>0.09</v>
      </c>
      <c r="L6" s="5">
        <f>M6-$E$2</f>
        <v>9.5000000000000001E-2</v>
      </c>
      <c r="M6" s="5">
        <v>0.1</v>
      </c>
      <c r="N6" s="5">
        <f>M6+$E$2</f>
        <v>0.10500000000000001</v>
      </c>
      <c r="O6" s="5">
        <f>N6+$E$2</f>
        <v>0.11000000000000001</v>
      </c>
      <c r="P6" s="5">
        <f>O6+$E$2</f>
        <v>0.11500000000000002</v>
      </c>
      <c r="Q6" s="5">
        <f>P6+$E$2</f>
        <v>0.12000000000000002</v>
      </c>
      <c r="R6" s="5">
        <f>Q6+$E$2</f>
        <v>0.12500000000000003</v>
      </c>
    </row>
    <row r="7" spans="1:18" x14ac:dyDescent="0.35">
      <c r="A7" t="s">
        <v>2</v>
      </c>
      <c r="B7" s="1">
        <v>0.2</v>
      </c>
      <c r="G7" s="5">
        <f>G8-$E$3</f>
        <v>1.55E-2</v>
      </c>
      <c r="H7" s="4">
        <f t="dataTable" ref="H7:R19" dt2D="1" dtr="1" r1="B2" r2="B3"/>
        <v>0.5435014820401195</v>
      </c>
      <c r="I7" s="4">
        <v>0.5471090237645605</v>
      </c>
      <c r="J7" s="4">
        <v>0.55070082976277102</v>
      </c>
      <c r="K7" s="4">
        <v>0.55427704069515227</v>
      </c>
      <c r="L7" s="4">
        <v>0.55783779532687139</v>
      </c>
      <c r="M7" s="4">
        <v>0.56138323056123718</v>
      </c>
      <c r="N7" s="4">
        <v>0.56491348147625153</v>
      </c>
      <c r="O7" s="4">
        <v>0.56842868135106561</v>
      </c>
      <c r="P7" s="4">
        <v>0.57192896170464225</v>
      </c>
      <c r="Q7" s="4">
        <v>0.57541445231982846</v>
      </c>
      <c r="R7" s="4">
        <v>0.57888528127901107</v>
      </c>
    </row>
    <row r="8" spans="1:18" x14ac:dyDescent="0.35">
      <c r="B8" s="1"/>
      <c r="G8" s="5">
        <f>G9-$E$3</f>
        <v>1.6E-2</v>
      </c>
      <c r="H8" s="4">
        <v>0.55136795535857275</v>
      </c>
      <c r="I8" s="4">
        <v>0.55486276140412216</v>
      </c>
      <c r="J8" s="4">
        <v>0.55834232346489632</v>
      </c>
      <c r="K8" s="4">
        <v>0.56180677780564126</v>
      </c>
      <c r="L8" s="4">
        <v>0.56525625885510644</v>
      </c>
      <c r="M8" s="4">
        <v>0.56869089923839888</v>
      </c>
      <c r="N8" s="4">
        <v>0.57211082981232397</v>
      </c>
      <c r="O8" s="4">
        <v>0.57551617969105051</v>
      </c>
      <c r="P8" s="4">
        <v>0.5789070762835784</v>
      </c>
      <c r="Q8" s="4">
        <v>0.58228364531703813</v>
      </c>
      <c r="R8" s="4">
        <v>0.58564601087124579</v>
      </c>
    </row>
    <row r="9" spans="1:18" x14ac:dyDescent="0.35">
      <c r="A9" t="s">
        <v>6</v>
      </c>
      <c r="B9" s="1">
        <v>1.06</v>
      </c>
      <c r="C9" t="s">
        <v>3</v>
      </c>
      <c r="G9" s="5">
        <f>G10-$E$3</f>
        <v>1.6500000000000001E-2</v>
      </c>
      <c r="H9" s="4">
        <v>0.55875767271832866</v>
      </c>
      <c r="I9" s="4">
        <v>0.56214657555038727</v>
      </c>
      <c r="J9" s="4">
        <v>0.56552069633658009</v>
      </c>
      <c r="K9" s="4">
        <v>0.5688801672124516</v>
      </c>
      <c r="L9" s="4">
        <v>0.5722251185331555</v>
      </c>
      <c r="M9" s="4">
        <v>0.57555567890483061</v>
      </c>
      <c r="N9" s="4">
        <v>0.57887197521893052</v>
      </c>
      <c r="O9" s="4">
        <v>0.58217413267709717</v>
      </c>
      <c r="P9" s="4">
        <v>0.58546227482742497</v>
      </c>
      <c r="Q9" s="4">
        <v>0.5887365235871459</v>
      </c>
      <c r="R9" s="4">
        <v>0.59199699927608307</v>
      </c>
    </row>
    <row r="10" spans="1:18" x14ac:dyDescent="0.35">
      <c r="A10" t="s">
        <v>7</v>
      </c>
      <c r="B10" s="4">
        <f>(1+((1+B2)^(1/252)-1)*B9)^252-1</f>
        <v>0.1063072245802954</v>
      </c>
      <c r="G10" s="5">
        <f>G11-$E$3</f>
        <v>1.7000000000000001E-2</v>
      </c>
      <c r="H10" s="4">
        <v>0.5657127008216285</v>
      </c>
      <c r="I10" s="4">
        <v>0.56900193004097976</v>
      </c>
      <c r="J10" s="4">
        <v>0.57227681198051794</v>
      </c>
      <c r="K10" s="4">
        <v>0.57553747488946183</v>
      </c>
      <c r="L10" s="4">
        <v>0.57878404528895699</v>
      </c>
      <c r="M10" s="4">
        <v>0.58201664800265152</v>
      </c>
      <c r="N10" s="4">
        <v>0.58523540618986392</v>
      </c>
      <c r="O10" s="4">
        <v>0.58844044136984952</v>
      </c>
      <c r="P10" s="4">
        <v>0.59163187345693014</v>
      </c>
      <c r="Q10" s="4">
        <v>0.59480982078254907</v>
      </c>
      <c r="R10" s="4">
        <v>0.5979744001276821</v>
      </c>
    </row>
    <row r="11" spans="1:18" x14ac:dyDescent="0.35">
      <c r="B11" s="4"/>
      <c r="F11" s="7" t="s">
        <v>1</v>
      </c>
      <c r="G11" s="5">
        <v>1.7500000000000002E-2</v>
      </c>
      <c r="H11" s="4">
        <v>0.57227029874761182</v>
      </c>
      <c r="I11" s="4">
        <v>0.5754655499892557</v>
      </c>
      <c r="J11" s="4">
        <v>0.57864686387338804</v>
      </c>
      <c r="K11" s="4">
        <v>0.58181436498492189</v>
      </c>
      <c r="L11" s="4">
        <v>0.58496817623015296</v>
      </c>
      <c r="M11" s="6">
        <v>0.58810841886630205</v>
      </c>
      <c r="N11" s="4">
        <v>0.59123521253388922</v>
      </c>
      <c r="O11" s="4">
        <v>0.59434867528015856</v>
      </c>
      <c r="P11" s="4">
        <v>0.59744892359332313</v>
      </c>
      <c r="Q11" s="4">
        <v>0.60053607242392226</v>
      </c>
      <c r="R11" s="4">
        <v>0.60361023521633739</v>
      </c>
    </row>
    <row r="12" spans="1:18" x14ac:dyDescent="0.35">
      <c r="A12" t="s">
        <v>4</v>
      </c>
      <c r="G12" s="5">
        <f>G11+$E$3</f>
        <v>1.8000000000000002E-2</v>
      </c>
      <c r="H12" s="4">
        <v>0.57846358567769274</v>
      </c>
      <c r="I12" s="4">
        <v>0.58157007994040222</v>
      </c>
      <c r="J12" s="4">
        <v>0.58466302399441783</v>
      </c>
      <c r="K12" s="4">
        <v>0.58774253896397177</v>
      </c>
      <c r="L12" s="4">
        <v>0.5908087443412734</v>
      </c>
      <c r="M12" s="4">
        <v>0.59386175801531405</v>
      </c>
      <c r="N12" s="4">
        <v>0.59690169630324408</v>
      </c>
      <c r="O12" s="4">
        <v>0.59992867397321947</v>
      </c>
      <c r="P12" s="4">
        <v>0.60294280427769176</v>
      </c>
      <c r="Q12" s="4">
        <v>0.60594419897410556</v>
      </c>
      <c r="R12" s="4">
        <v>0.60893296835562938</v>
      </c>
    </row>
    <row r="13" spans="1:18" x14ac:dyDescent="0.35">
      <c r="A13" t="s">
        <v>5</v>
      </c>
      <c r="B13" s="2">
        <f>(1+B2)*(1+B3)-1</f>
        <v>0.11925000000000008</v>
      </c>
      <c r="G13" s="5">
        <f t="shared" ref="G13:G19" si="0">G12+$E$3</f>
        <v>1.8500000000000003E-2</v>
      </c>
      <c r="H13" s="4">
        <v>0.58432210034128507</v>
      </c>
      <c r="I13" s="4">
        <v>0.58734463529960168</v>
      </c>
      <c r="J13" s="4">
        <v>0.59035398627106783</v>
      </c>
      <c r="K13" s="4">
        <v>0.59335027110630967</v>
      </c>
      <c r="L13" s="4">
        <v>0.59633360606801533</v>
      </c>
      <c r="M13" s="4">
        <v>0.59930410585897187</v>
      </c>
      <c r="N13" s="4">
        <v>0.60226188365263389</v>
      </c>
      <c r="O13" s="4">
        <v>0.6052070511153107</v>
      </c>
      <c r="P13" s="4">
        <v>0.6081397184385815</v>
      </c>
      <c r="Q13" s="4">
        <v>0.61105999435941472</v>
      </c>
      <c r="R13" s="4">
        <v>0.61396798619008464</v>
      </c>
    </row>
    <row r="14" spans="1:18" x14ac:dyDescent="0.35">
      <c r="A14" t="s">
        <v>10</v>
      </c>
      <c r="B14" s="2">
        <f>(1+B13)/(1+B6)-1</f>
        <v>0.1125745526838966</v>
      </c>
      <c r="G14" s="5">
        <f t="shared" si="0"/>
        <v>1.9000000000000003E-2</v>
      </c>
      <c r="H14" s="4">
        <v>0.58987227212784421</v>
      </c>
      <c r="I14" s="4">
        <v>0.59281526669252116</v>
      </c>
      <c r="J14" s="4">
        <v>0.59574542421737631</v>
      </c>
      <c r="K14" s="4">
        <v>0.59866285945169095</v>
      </c>
      <c r="L14" s="4">
        <v>0.60156768559861307</v>
      </c>
      <c r="M14" s="4">
        <v>0.60446001434243091</v>
      </c>
      <c r="N14" s="4">
        <v>0.60733995587836309</v>
      </c>
      <c r="O14" s="4">
        <v>0.61020761893413389</v>
      </c>
      <c r="P14" s="4">
        <v>0.61306311080152742</v>
      </c>
      <c r="Q14" s="4">
        <v>0.61590653735602519</v>
      </c>
      <c r="R14" s="4">
        <v>0.61873800308588622</v>
      </c>
    </row>
    <row r="15" spans="1:18" x14ac:dyDescent="0.35">
      <c r="A15" t="s">
        <v>12</v>
      </c>
      <c r="B15" s="2">
        <f>B7*(B14-B10)</f>
        <v>1.25346562072024E-3</v>
      </c>
      <c r="G15" s="5">
        <f t="shared" si="0"/>
        <v>1.9500000000000003E-2</v>
      </c>
      <c r="H15" s="4">
        <v>0.59513781972022295</v>
      </c>
      <c r="I15" s="4">
        <v>0.59800535288580581</v>
      </c>
      <c r="J15" s="4">
        <v>0.60086037816643412</v>
      </c>
      <c r="K15" s="4">
        <v>0.60370300736909588</v>
      </c>
      <c r="L15" s="4">
        <v>0.60653335079430215</v>
      </c>
      <c r="M15" s="4">
        <v>0.6093515172626458</v>
      </c>
      <c r="N15" s="4">
        <v>0.61215761414380876</v>
      </c>
      <c r="O15" s="4">
        <v>0.61495174737763691</v>
      </c>
      <c r="P15" s="4">
        <v>0.61773402150483914</v>
      </c>
      <c r="Q15" s="4">
        <v>0.62050453968614216</v>
      </c>
      <c r="R15" s="4">
        <v>0.62326340373062261</v>
      </c>
    </row>
    <row r="16" spans="1:18" x14ac:dyDescent="0.35">
      <c r="A16" t="s">
        <v>11</v>
      </c>
      <c r="B16" s="2">
        <f>B14-B15</f>
        <v>0.11132108706317637</v>
      </c>
      <c r="G16" s="5">
        <f t="shared" si="0"/>
        <v>2.0000000000000004E-2</v>
      </c>
      <c r="H16" s="4">
        <v>0.60014008993298262</v>
      </c>
      <c r="I16" s="4">
        <v>0.6029359347694242</v>
      </c>
      <c r="J16" s="4">
        <v>0.60571958441803497</v>
      </c>
      <c r="K16" s="4">
        <v>0.60849114789063841</v>
      </c>
      <c r="L16" s="4">
        <v>0.6112507327302128</v>
      </c>
      <c r="M16" s="4">
        <v>0.61399844503684609</v>
      </c>
      <c r="N16" s="4">
        <v>0.61673438949598014</v>
      </c>
      <c r="O16" s="4">
        <v>0.61945866939896088</v>
      </c>
      <c r="P16" s="4">
        <v>0.622171386672983</v>
      </c>
      <c r="Q16" s="4">
        <v>0.62487264189975222</v>
      </c>
      <c r="R16" s="4">
        <v>0.62756253434312681</v>
      </c>
    </row>
    <row r="17" spans="1:18" x14ac:dyDescent="0.35">
      <c r="G17" s="5">
        <f t="shared" si="0"/>
        <v>2.0500000000000004E-2</v>
      </c>
      <c r="H17" s="4">
        <v>0.60489834696463018</v>
      </c>
      <c r="I17" s="4">
        <v>0.6076260004635976</v>
      </c>
      <c r="J17" s="4">
        <v>0.61034175621834619</v>
      </c>
      <c r="K17" s="4">
        <v>0.61304572058185391</v>
      </c>
      <c r="L17" s="4">
        <v>0.61573799847411992</v>
      </c>
      <c r="M17" s="4">
        <v>0.61841869340742872</v>
      </c>
      <c r="N17" s="4">
        <v>0.62108790751389931</v>
      </c>
      <c r="O17" s="4">
        <v>0.62374574156558615</v>
      </c>
      <c r="P17" s="4">
        <v>0.62639229500365645</v>
      </c>
      <c r="Q17" s="4">
        <v>0.62902766595660853</v>
      </c>
      <c r="R17" s="4">
        <v>0.63165195126720963</v>
      </c>
    </row>
    <row r="18" spans="1:18" x14ac:dyDescent="0.35">
      <c r="A18" t="s">
        <v>13</v>
      </c>
      <c r="G18" s="5">
        <f t="shared" si="0"/>
        <v>2.1000000000000005E-2</v>
      </c>
      <c r="H18" s="4">
        <v>0.60943002032810412</v>
      </c>
      <c r="I18" s="4">
        <v>0.61209272969614981</v>
      </c>
      <c r="J18" s="4">
        <v>0.61474382459958732</v>
      </c>
      <c r="K18" s="4">
        <v>0.61738340885920029</v>
      </c>
      <c r="L18" s="4">
        <v>0.62001158489689645</v>
      </c>
      <c r="M18" s="4">
        <v>0.62262845376035514</v>
      </c>
      <c r="N18" s="4">
        <v>0.62523411515001281</v>
      </c>
      <c r="O18" s="4">
        <v>0.62782866743856436</v>
      </c>
      <c r="P18" s="4">
        <v>0.63041220769953632</v>
      </c>
      <c r="Q18" s="4">
        <v>0.63298483172503661</v>
      </c>
      <c r="R18" s="4">
        <v>0.63554663405205092</v>
      </c>
    </row>
    <row r="19" spans="1:18" x14ac:dyDescent="0.35">
      <c r="A19" t="s">
        <v>14</v>
      </c>
      <c r="B19" s="2">
        <f>(B13-B14+B15)</f>
        <v>7.9289129368237173E-3</v>
      </c>
      <c r="G19" s="5">
        <f t="shared" si="0"/>
        <v>2.1500000000000005E-2</v>
      </c>
      <c r="H19" s="4">
        <v>0.61375091818630367</v>
      </c>
      <c r="I19" s="4">
        <v>0.6163517040806723</v>
      </c>
      <c r="J19" s="4">
        <v>0.6189411456142625</v>
      </c>
      <c r="K19" s="4">
        <v>0.62151934419342525</v>
      </c>
      <c r="L19" s="4">
        <v>0.62408639985814263</v>
      </c>
      <c r="M19" s="4">
        <v>0.62664241130617959</v>
      </c>
      <c r="N19" s="4">
        <v>0.62918747591932456</v>
      </c>
      <c r="O19" s="4">
        <v>0.63172168978256682</v>
      </c>
      <c r="P19" s="4">
        <v>0.63424514771188845</v>
      </c>
      <c r="Q19" s="4">
        <v>0.63675794327167778</v>
      </c>
      <c r="R19" s="4">
        <v>0.63926016880038794</v>
      </c>
    </row>
    <row r="20" spans="1:18" x14ac:dyDescent="0.35">
      <c r="A20" t="s">
        <v>15</v>
      </c>
      <c r="B20" s="2">
        <f>B16-B2</f>
        <v>1.132108706317636E-2</v>
      </c>
    </row>
    <row r="21" spans="1:18" x14ac:dyDescent="0.35">
      <c r="A21" t="s">
        <v>17</v>
      </c>
      <c r="B21" s="2">
        <f>B20/(B20+B19)</f>
        <v>0.58810841886630205</v>
      </c>
    </row>
  </sheetData>
  <conditionalFormatting sqref="H7:R1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28B6-C94B-4341-BF5A-1BAAB9051969}">
  <dimension ref="A1:R32"/>
  <sheetViews>
    <sheetView workbookViewId="0">
      <selection activeCell="M16" sqref="M16"/>
    </sheetView>
  </sheetViews>
  <sheetFormatPr defaultRowHeight="14.5" x14ac:dyDescent="0.35"/>
  <cols>
    <col min="1" max="1" width="15.26953125" bestFit="1" customWidth="1"/>
    <col min="2" max="2" width="20.08984375" bestFit="1" customWidth="1"/>
  </cols>
  <sheetData>
    <row r="1" spans="1:18" x14ac:dyDescent="0.35">
      <c r="D1" t="s">
        <v>16</v>
      </c>
    </row>
    <row r="2" spans="1:18" x14ac:dyDescent="0.35">
      <c r="A2" t="s">
        <v>0</v>
      </c>
      <c r="B2" s="10">
        <v>0.1</v>
      </c>
      <c r="D2" t="s">
        <v>0</v>
      </c>
      <c r="E2" s="2">
        <v>5.0000000000000001E-3</v>
      </c>
      <c r="L2" s="2"/>
    </row>
    <row r="3" spans="1:18" x14ac:dyDescent="0.35">
      <c r="A3" t="s">
        <v>26</v>
      </c>
      <c r="B3" s="10">
        <v>1.1499999999999999</v>
      </c>
      <c r="D3" t="s">
        <v>25</v>
      </c>
      <c r="E3" s="2">
        <v>0.05</v>
      </c>
    </row>
    <row r="5" spans="1:18" x14ac:dyDescent="0.35">
      <c r="A5" t="s">
        <v>9</v>
      </c>
      <c r="M5" s="7" t="s">
        <v>0</v>
      </c>
    </row>
    <row r="6" spans="1:18" x14ac:dyDescent="0.35">
      <c r="A6" t="s">
        <v>8</v>
      </c>
      <c r="B6" s="2">
        <v>6.0000000000000001E-3</v>
      </c>
      <c r="G6" s="2">
        <f>B21</f>
        <v>0.66700767390952131</v>
      </c>
      <c r="H6" s="5">
        <f>I6-$E$2</f>
        <v>7.4999999999999983E-2</v>
      </c>
      <c r="I6" s="5">
        <f>J6-$E$2</f>
        <v>7.9999999999999988E-2</v>
      </c>
      <c r="J6" s="5">
        <f>K6-$E$2</f>
        <v>8.4999999999999992E-2</v>
      </c>
      <c r="K6" s="5">
        <f>L6-$E$2</f>
        <v>0.09</v>
      </c>
      <c r="L6" s="5">
        <f>M6-$E$2</f>
        <v>9.5000000000000001E-2</v>
      </c>
      <c r="M6" s="5">
        <v>0.1</v>
      </c>
      <c r="N6" s="5">
        <f>M6+$E$2</f>
        <v>0.10500000000000001</v>
      </c>
      <c r="O6" s="5">
        <f>N6+$E$2</f>
        <v>0.11000000000000001</v>
      </c>
      <c r="P6" s="5">
        <f>O6+$E$2</f>
        <v>0.11500000000000002</v>
      </c>
      <c r="Q6" s="5">
        <f>P6+$E$2</f>
        <v>0.12000000000000002</v>
      </c>
      <c r="R6" s="5">
        <f>Q6+$E$2</f>
        <v>0.12500000000000003</v>
      </c>
    </row>
    <row r="7" spans="1:18" x14ac:dyDescent="0.35">
      <c r="A7" t="s">
        <v>2</v>
      </c>
      <c r="B7" s="1">
        <v>0.2</v>
      </c>
      <c r="G7" s="5">
        <f>G8-$E$3</f>
        <v>0.99999999999999978</v>
      </c>
      <c r="H7" s="4">
        <f t="dataTable" ref="H7:R19" dt2D="1" dtr="1" r1="B2" r2="B3"/>
        <v>-5.5973744158216301E-13</v>
      </c>
      <c r="I7" s="4">
        <v>2.3592239273279008E-13</v>
      </c>
      <c r="J7" s="4">
        <v>-3.8533990813179958E-12</v>
      </c>
      <c r="K7" s="4">
        <v>3.2705319933642438E-12</v>
      </c>
      <c r="L7" s="4">
        <v>3.7331249202881528E-12</v>
      </c>
      <c r="M7" s="4">
        <v>2.8264427835168889E-12</v>
      </c>
      <c r="N7" s="4">
        <v>-2.1880645443702003E-12</v>
      </c>
      <c r="O7" s="4">
        <v>-5.5742447695032122E-12</v>
      </c>
      <c r="P7" s="4">
        <v>-3.2242727006926215E-12</v>
      </c>
      <c r="Q7" s="4">
        <v>2.7524279152089582E-12</v>
      </c>
      <c r="R7" s="4">
        <v>-2.299086846833214E-12</v>
      </c>
    </row>
    <row r="8" spans="1:18" x14ac:dyDescent="0.35">
      <c r="B8" s="1"/>
      <c r="G8" s="5">
        <f>G9-$E$3</f>
        <v>1.0499999999999998</v>
      </c>
      <c r="H8" s="4">
        <v>0.39355252230446913</v>
      </c>
      <c r="I8" s="4">
        <v>0.4096367187741709</v>
      </c>
      <c r="J8" s="4">
        <v>0.42495674230533742</v>
      </c>
      <c r="K8" s="4">
        <v>0.43956507839591485</v>
      </c>
      <c r="L8" s="4">
        <v>0.4535095253952991</v>
      </c>
      <c r="M8" s="4">
        <v>0.46683370604633406</v>
      </c>
      <c r="N8" s="4">
        <v>0.47957751347653371</v>
      </c>
      <c r="O8" s="4">
        <v>0.49177750123291342</v>
      </c>
      <c r="P8" s="4">
        <v>0.50346722535206156</v>
      </c>
      <c r="Q8" s="4">
        <v>0.51467754528416432</v>
      </c>
      <c r="R8" s="4">
        <v>0.52543688922440435</v>
      </c>
    </row>
    <row r="9" spans="1:18" x14ac:dyDescent="0.35">
      <c r="A9" t="s">
        <v>6</v>
      </c>
      <c r="B9" s="1">
        <v>1.06</v>
      </c>
      <c r="C9" t="s">
        <v>3</v>
      </c>
      <c r="G9" s="5">
        <f>G10-$E$3</f>
        <v>1.0999999999999999</v>
      </c>
      <c r="H9" s="4">
        <v>0.54075565634202494</v>
      </c>
      <c r="I9" s="4">
        <v>0.55574173277375649</v>
      </c>
      <c r="J9" s="4">
        <v>0.56966709756050926</v>
      </c>
      <c r="K9" s="4">
        <v>0.58263979312015057</v>
      </c>
      <c r="L9" s="4">
        <v>0.59475368137738205</v>
      </c>
      <c r="M9" s="6">
        <v>0.60609069610255062</v>
      </c>
      <c r="N9" s="4">
        <v>0.61672267918422052</v>
      </c>
      <c r="O9" s="4">
        <v>0.62671288780447798</v>
      </c>
      <c r="P9" s="4">
        <v>0.63611723935865983</v>
      </c>
      <c r="Q9" s="4">
        <v>0.64498534583491152</v>
      </c>
      <c r="R9" s="4">
        <v>0.65336137807388883</v>
      </c>
    </row>
    <row r="10" spans="1:18" x14ac:dyDescent="0.35">
      <c r="A10" t="s">
        <v>7</v>
      </c>
      <c r="B10" s="4">
        <f>(1+((1+B2)^(1/252)-1)*B9)^252-1</f>
        <v>0.1063072245802954</v>
      </c>
      <c r="F10" s="7" t="s">
        <v>25</v>
      </c>
      <c r="G10" s="5">
        <f>G11-$E$3</f>
        <v>1.1499999999999999</v>
      </c>
      <c r="H10" s="4">
        <v>0.6127214867939319</v>
      </c>
      <c r="I10" s="4">
        <v>0.6254566399449758</v>
      </c>
      <c r="J10" s="4">
        <v>0.63713682448206643</v>
      </c>
      <c r="K10" s="4">
        <v>0.64788722340790306</v>
      </c>
      <c r="L10" s="4">
        <v>0.65781397764677707</v>
      </c>
      <c r="M10" s="6">
        <v>0.66700767390952131</v>
      </c>
      <c r="N10" s="4">
        <v>0.67554609302341007</v>
      </c>
      <c r="O10" s="4">
        <v>0.68349639542086027</v>
      </c>
      <c r="P10" s="4">
        <v>0.69091687382696831</v>
      </c>
      <c r="Q10" s="4">
        <v>0.69785836994653694</v>
      </c>
      <c r="R10" s="4">
        <v>0.70436542796809254</v>
      </c>
    </row>
    <row r="11" spans="1:18" x14ac:dyDescent="0.35">
      <c r="B11" s="4"/>
      <c r="G11" s="5">
        <v>1.2</v>
      </c>
      <c r="H11" s="4">
        <v>0.65639926326533882</v>
      </c>
      <c r="I11" s="4">
        <v>0.66731172085039503</v>
      </c>
      <c r="J11" s="4">
        <v>0.67724177139052966</v>
      </c>
      <c r="K11" s="4">
        <v>0.68631570087726423</v>
      </c>
      <c r="L11" s="4">
        <v>0.6946390489545764</v>
      </c>
      <c r="M11" s="11">
        <v>0.7023007009550799</v>
      </c>
      <c r="N11" s="4">
        <v>0.7093760481523993</v>
      </c>
      <c r="O11" s="4">
        <v>0.71592945471360914</v>
      </c>
      <c r="P11" s="4">
        <v>0.72201620255088383</v>
      </c>
      <c r="Q11" s="4">
        <v>0.72768403857534525</v>
      </c>
      <c r="R11" s="4">
        <v>0.73297441607530167</v>
      </c>
    </row>
    <row r="12" spans="1:18" x14ac:dyDescent="0.35">
      <c r="A12" t="s">
        <v>4</v>
      </c>
      <c r="G12" s="5">
        <f>G11+$E$3</f>
        <v>1.25</v>
      </c>
      <c r="H12" s="4">
        <v>0.68572824008642586</v>
      </c>
      <c r="I12" s="4">
        <v>0.69522583470117227</v>
      </c>
      <c r="J12" s="4">
        <v>0.70382300500503836</v>
      </c>
      <c r="K12" s="4">
        <v>0.71164136385693666</v>
      </c>
      <c r="L12" s="4">
        <v>0.7187815760425571</v>
      </c>
      <c r="M12" s="4">
        <v>0.72532768233128442</v>
      </c>
      <c r="N12" s="4">
        <v>0.73135039492653797</v>
      </c>
      <c r="O12" s="4">
        <v>0.7369096388870604</v>
      </c>
      <c r="P12" s="4">
        <v>0.74205653341341493</v>
      </c>
      <c r="Q12" s="4">
        <v>0.74683495192142413</v>
      </c>
      <c r="R12" s="4">
        <v>0.75128276180523756</v>
      </c>
    </row>
    <row r="13" spans="1:18" x14ac:dyDescent="0.35">
      <c r="A13" t="s">
        <v>27</v>
      </c>
      <c r="B13" s="2">
        <f>(1+((1+B2)^(1/252)-1)*B3)^252-1</f>
        <v>0.11583566347680385</v>
      </c>
      <c r="G13" s="5">
        <f t="shared" ref="G13:G19" si="0">G12+$E$3</f>
        <v>1.3</v>
      </c>
      <c r="H13" s="4">
        <v>0.70678143301124274</v>
      </c>
      <c r="I13" s="4">
        <v>0.71516961736338214</v>
      </c>
      <c r="J13" s="4">
        <v>0.72273392057983998</v>
      </c>
      <c r="K13" s="4">
        <v>0.72958942092440793</v>
      </c>
      <c r="L13" s="4">
        <v>0.7358307265894436</v>
      </c>
      <c r="M13" s="4">
        <v>0.74153633325987001</v>
      </c>
      <c r="N13" s="4">
        <v>0.74677191399805709</v>
      </c>
      <c r="O13" s="4">
        <v>0.75159283467413918</v>
      </c>
      <c r="P13" s="4">
        <v>0.75604609961202696</v>
      </c>
      <c r="Q13" s="4">
        <v>0.76017187254088869</v>
      </c>
      <c r="R13" s="4">
        <v>0.76400467721638576</v>
      </c>
    </row>
    <row r="14" spans="1:18" x14ac:dyDescent="0.35">
      <c r="A14" t="s">
        <v>23</v>
      </c>
      <c r="B14" s="2">
        <f>(1+B13)*(1+B6)-1</f>
        <v>0.12253067745766466</v>
      </c>
      <c r="G14" s="5">
        <f t="shared" si="0"/>
        <v>1.35</v>
      </c>
      <c r="H14" s="4">
        <v>0.72262844087554745</v>
      </c>
      <c r="I14" s="4">
        <v>0.73013016384874441</v>
      </c>
      <c r="J14" s="4">
        <v>0.73687583332629358</v>
      </c>
      <c r="K14" s="4">
        <v>0.74297365671728144</v>
      </c>
      <c r="L14" s="4">
        <v>0.74851214070091221</v>
      </c>
      <c r="M14" s="4">
        <v>0.75356437939285148</v>
      </c>
      <c r="N14" s="4">
        <v>0.75819126917835689</v>
      </c>
      <c r="O14" s="4">
        <v>0.76244395109100571</v>
      </c>
      <c r="P14" s="4">
        <v>0.76636568894197676</v>
      </c>
      <c r="Q14" s="4">
        <v>0.76999332963741329</v>
      </c>
      <c r="R14" s="4">
        <v>0.77335845024981409</v>
      </c>
    </row>
    <row r="15" spans="1:18" x14ac:dyDescent="0.35">
      <c r="A15" t="s">
        <v>12</v>
      </c>
      <c r="B15" s="2">
        <f>MAX(B7*(B13-B10),0)</f>
        <v>1.9056877793016903E-3</v>
      </c>
      <c r="G15" s="5">
        <f t="shared" si="0"/>
        <v>1.4000000000000001</v>
      </c>
      <c r="H15" s="4">
        <v>0.73498782782381655</v>
      </c>
      <c r="I15" s="4">
        <v>0.7417676739064587</v>
      </c>
      <c r="J15" s="4">
        <v>0.74785065394436023</v>
      </c>
      <c r="K15" s="4">
        <v>0.75333836292517775</v>
      </c>
      <c r="L15" s="4">
        <v>0.75831357042007397</v>
      </c>
      <c r="M15" s="4">
        <v>0.76284438779143415</v>
      </c>
      <c r="N15" s="4">
        <v>0.76698737538667539</v>
      </c>
      <c r="O15" s="4">
        <v>0.77078989149683008</v>
      </c>
      <c r="P15" s="4">
        <v>0.77429189051497649</v>
      </c>
      <c r="Q15" s="4">
        <v>0.77752731530312758</v>
      </c>
      <c r="R15" s="4">
        <v>0.78052518673742854</v>
      </c>
    </row>
    <row r="16" spans="1:18" x14ac:dyDescent="0.35">
      <c r="A16" t="s">
        <v>24</v>
      </c>
      <c r="B16" s="2">
        <f>B14-B15</f>
        <v>0.12062498967836296</v>
      </c>
      <c r="G16" s="5">
        <f t="shared" si="0"/>
        <v>1.4500000000000002</v>
      </c>
      <c r="H16" s="4">
        <v>0.74489673852228089</v>
      </c>
      <c r="I16" s="4">
        <v>0.7510785836713324</v>
      </c>
      <c r="J16" s="4">
        <v>0.7566150908188487</v>
      </c>
      <c r="K16" s="4">
        <v>0.76160171544109756</v>
      </c>
      <c r="L16" s="4">
        <v>0.76611597950141774</v>
      </c>
      <c r="M16" s="4">
        <v>0.77022149390362771</v>
      </c>
      <c r="N16" s="4">
        <v>0.77397094475654882</v>
      </c>
      <c r="O16" s="4">
        <v>0.77740834204095233</v>
      </c>
      <c r="P16" s="4">
        <v>0.7805707348252201</v>
      </c>
      <c r="Q16" s="4">
        <v>0.78348953505340924</v>
      </c>
      <c r="R16" s="4">
        <v>0.78619155030565668</v>
      </c>
    </row>
    <row r="17" spans="1:18" x14ac:dyDescent="0.35">
      <c r="G17" s="5">
        <f t="shared" si="0"/>
        <v>1.5000000000000002</v>
      </c>
      <c r="H17" s="4">
        <v>0.75301817212201583</v>
      </c>
      <c r="I17" s="4">
        <v>0.75869714575786951</v>
      </c>
      <c r="J17" s="4">
        <v>0.76377576923877377</v>
      </c>
      <c r="K17" s="4">
        <v>0.76834388601018433</v>
      </c>
      <c r="L17" s="4">
        <v>0.77247427187606954</v>
      </c>
      <c r="M17" s="4">
        <v>0.7762265040449623</v>
      </c>
      <c r="N17" s="4">
        <v>0.77964982334323929</v>
      </c>
      <c r="O17" s="4">
        <v>0.78278528256083335</v>
      </c>
      <c r="P17" s="4">
        <v>0.78566738036308936</v>
      </c>
      <c r="Q17" s="4">
        <v>0.78832531896513325</v>
      </c>
      <c r="R17" s="4">
        <v>0.79078398291010543</v>
      </c>
    </row>
    <row r="18" spans="1:18" x14ac:dyDescent="0.35">
      <c r="A18" t="s">
        <v>13</v>
      </c>
      <c r="G18" s="5">
        <f t="shared" si="0"/>
        <v>1.5500000000000003</v>
      </c>
      <c r="H18" s="4">
        <v>0.75979573950389823</v>
      </c>
      <c r="I18" s="4">
        <v>0.76504627916015999</v>
      </c>
      <c r="J18" s="4">
        <v>0.76973594030296677</v>
      </c>
      <c r="K18" s="4">
        <v>0.77394946946750176</v>
      </c>
      <c r="L18" s="4">
        <v>0.77775536614557483</v>
      </c>
      <c r="M18" s="4">
        <v>0.78120959804427892</v>
      </c>
      <c r="N18" s="4">
        <v>0.78435834144020722</v>
      </c>
      <c r="O18" s="4">
        <v>0.78724003257835407</v>
      </c>
      <c r="P18" s="4">
        <v>0.78988692407229399</v>
      </c>
      <c r="Q18" s="4">
        <v>0.79232628026286345</v>
      </c>
      <c r="R18" s="4">
        <v>0.79458130561211215</v>
      </c>
    </row>
    <row r="19" spans="1:18" x14ac:dyDescent="0.35">
      <c r="A19" t="s">
        <v>14</v>
      </c>
      <c r="B19" s="2">
        <f>B15+B6</f>
        <v>7.9056877793016907E-3</v>
      </c>
      <c r="G19" s="5">
        <f t="shared" si="0"/>
        <v>1.6000000000000003</v>
      </c>
      <c r="H19" s="4">
        <v>0.76553747512430526</v>
      </c>
      <c r="I19" s="4">
        <v>0.7704188216315595</v>
      </c>
      <c r="J19" s="4">
        <v>0.77477411784407846</v>
      </c>
      <c r="K19" s="4">
        <v>0.77868348993105718</v>
      </c>
      <c r="L19" s="4">
        <v>0.78221158499240873</v>
      </c>
      <c r="M19" s="4">
        <v>0.78541113659505457</v>
      </c>
      <c r="N19" s="4">
        <v>0.78832558814964548</v>
      </c>
      <c r="O19" s="4">
        <v>0.7909910523248781</v>
      </c>
      <c r="P19" s="4">
        <v>0.79343779461919084</v>
      </c>
      <c r="Q19" s="4">
        <v>0.79569137066033335</v>
      </c>
      <c r="R19" s="4">
        <v>0.79777350799628044</v>
      </c>
    </row>
    <row r="20" spans="1:18" x14ac:dyDescent="0.35">
      <c r="A20" t="s">
        <v>15</v>
      </c>
      <c r="B20" s="2">
        <f>B13-B2</f>
        <v>1.5835663476803846E-2</v>
      </c>
    </row>
    <row r="21" spans="1:18" x14ac:dyDescent="0.35">
      <c r="A21" t="s">
        <v>17</v>
      </c>
      <c r="B21" s="2">
        <f>B20/(B20+B19)</f>
        <v>0.66700767390952131</v>
      </c>
    </row>
    <row r="23" spans="1:18" x14ac:dyDescent="0.35">
      <c r="E23" t="s">
        <v>28</v>
      </c>
      <c r="F23" t="s">
        <v>29</v>
      </c>
      <c r="I23" s="2"/>
    </row>
    <row r="24" spans="1:18" x14ac:dyDescent="0.35">
      <c r="D24">
        <v>2015</v>
      </c>
      <c r="E24" s="3">
        <v>1.1339661956085401</v>
      </c>
      <c r="F24" s="3">
        <v>1.1563120512727101</v>
      </c>
      <c r="I24" s="2"/>
    </row>
    <row r="25" spans="1:18" x14ac:dyDescent="0.35">
      <c r="D25">
        <v>2016</v>
      </c>
      <c r="E25" s="3">
        <v>1.17019446658657</v>
      </c>
      <c r="F25" s="3">
        <v>1.1004548373979599</v>
      </c>
      <c r="H25" s="2"/>
    </row>
    <row r="26" spans="1:18" x14ac:dyDescent="0.35">
      <c r="D26">
        <v>2017</v>
      </c>
      <c r="E26" s="3">
        <v>1.14099067645353</v>
      </c>
      <c r="F26" s="3">
        <v>1.6734058730183501</v>
      </c>
      <c r="H26" s="2"/>
      <c r="I26" s="4"/>
    </row>
    <row r="27" spans="1:18" x14ac:dyDescent="0.35">
      <c r="D27">
        <v>2018</v>
      </c>
      <c r="E27" s="3">
        <v>1.1488359731975599</v>
      </c>
      <c r="F27" s="3">
        <v>1.3007597840168901</v>
      </c>
    </row>
    <row r="28" spans="1:18" x14ac:dyDescent="0.35">
      <c r="D28">
        <v>2019</v>
      </c>
      <c r="E28" s="3">
        <v>1.0243966557051301</v>
      </c>
      <c r="F28" s="3">
        <v>1.37354287657775</v>
      </c>
    </row>
    <row r="29" spans="1:18" x14ac:dyDescent="0.35">
      <c r="D29">
        <v>2020</v>
      </c>
      <c r="E29" s="3">
        <v>0.72474170225332601</v>
      </c>
      <c r="F29" s="3">
        <v>3.0871345821406799</v>
      </c>
    </row>
    <row r="30" spans="1:18" x14ac:dyDescent="0.35">
      <c r="D30">
        <v>2021</v>
      </c>
      <c r="E30" s="3">
        <v>1.6601946318693499</v>
      </c>
      <c r="F30" s="3">
        <v>0.22646917294601401</v>
      </c>
    </row>
    <row r="31" spans="1:18" x14ac:dyDescent="0.35">
      <c r="D31">
        <v>2022</v>
      </c>
      <c r="E31" s="3">
        <v>1.14380492057728</v>
      </c>
      <c r="F31" s="3">
        <v>1.36096445567701</v>
      </c>
    </row>
    <row r="32" spans="1:18" x14ac:dyDescent="0.35">
      <c r="D32">
        <v>2023</v>
      </c>
      <c r="E32" s="3">
        <v>0.976884939240795</v>
      </c>
      <c r="F32" s="3">
        <v>0.74356089095190003</v>
      </c>
    </row>
  </sheetData>
  <conditionalFormatting sqref="H7:R1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E57D-5EF5-4DAE-912C-EA8D015A4E8B}">
  <dimension ref="A1:R23"/>
  <sheetViews>
    <sheetView workbookViewId="0">
      <selection activeCell="B9" sqref="B9"/>
    </sheetView>
  </sheetViews>
  <sheetFormatPr defaultRowHeight="14.5" x14ac:dyDescent="0.35"/>
  <cols>
    <col min="1" max="1" width="15.26953125" bestFit="1" customWidth="1"/>
    <col min="2" max="2" width="20.08984375" bestFit="1" customWidth="1"/>
  </cols>
  <sheetData>
    <row r="1" spans="1:18" x14ac:dyDescent="0.35">
      <c r="D1" t="s">
        <v>16</v>
      </c>
    </row>
    <row r="2" spans="1:18" x14ac:dyDescent="0.35">
      <c r="A2" t="s">
        <v>0</v>
      </c>
      <c r="B2" s="10">
        <v>0.1</v>
      </c>
      <c r="D2" t="s">
        <v>18</v>
      </c>
      <c r="E2" s="2">
        <v>5.0000000000000001E-3</v>
      </c>
      <c r="L2" s="2"/>
    </row>
    <row r="3" spans="1:18" x14ac:dyDescent="0.35">
      <c r="A3" t="s">
        <v>19</v>
      </c>
      <c r="B3" s="10">
        <v>0.04</v>
      </c>
      <c r="D3" t="s">
        <v>20</v>
      </c>
      <c r="E3" s="8">
        <v>0.1</v>
      </c>
    </row>
    <row r="4" spans="1:18" x14ac:dyDescent="0.35">
      <c r="A4" t="s">
        <v>20</v>
      </c>
      <c r="B4" s="8">
        <v>1</v>
      </c>
    </row>
    <row r="5" spans="1:18" x14ac:dyDescent="0.35">
      <c r="A5" t="s">
        <v>21</v>
      </c>
      <c r="B5" s="2">
        <f>B3*B4</f>
        <v>0.04</v>
      </c>
      <c r="M5" s="7" t="s">
        <v>18</v>
      </c>
    </row>
    <row r="6" spans="1:18" x14ac:dyDescent="0.35">
      <c r="G6" s="2">
        <f>B23</f>
        <v>0.66666666666670438</v>
      </c>
      <c r="H6" s="5">
        <f>I6-$E$2</f>
        <v>1.4999999999999999E-2</v>
      </c>
      <c r="I6" s="5">
        <f>J6-$E$2</f>
        <v>0.02</v>
      </c>
      <c r="J6" s="5">
        <f>K6-$E$2</f>
        <v>2.5000000000000001E-2</v>
      </c>
      <c r="K6" s="5">
        <f>L6-$E$2</f>
        <v>3.0000000000000002E-2</v>
      </c>
      <c r="L6" s="5">
        <f>M6-$E$2</f>
        <v>3.5000000000000003E-2</v>
      </c>
      <c r="M6" s="5">
        <v>0.04</v>
      </c>
      <c r="N6" s="5">
        <f>M6+$E$2</f>
        <v>4.4999999999999998E-2</v>
      </c>
      <c r="O6" s="5">
        <f>N6+$E$2</f>
        <v>4.9999999999999996E-2</v>
      </c>
      <c r="P6" s="5">
        <f>O6+$E$2</f>
        <v>5.4999999999999993E-2</v>
      </c>
      <c r="Q6" s="5">
        <f>P6+$E$2</f>
        <v>5.9999999999999991E-2</v>
      </c>
      <c r="R6" s="5">
        <f>Q6+$E$2</f>
        <v>6.4999999999999988E-2</v>
      </c>
    </row>
    <row r="7" spans="1:18" x14ac:dyDescent="0.35">
      <c r="A7" t="s">
        <v>9</v>
      </c>
      <c r="G7" s="9">
        <f>G8-$E$3</f>
        <v>0.60000000000000009</v>
      </c>
      <c r="H7" s="4">
        <f t="dataTable" ref="H7:R19" dt2D="1" dtr="1" r1="B4" r2="B3"/>
        <v>0.39473684210532189</v>
      </c>
      <c r="I7" s="4">
        <v>0.45454545454551298</v>
      </c>
      <c r="J7" s="4">
        <v>0.50000000000005651</v>
      </c>
      <c r="K7" s="4">
        <v>0.53571428571433977</v>
      </c>
      <c r="L7" s="4">
        <v>0.56451612903230963</v>
      </c>
      <c r="M7" s="4">
        <v>0.58823529411769593</v>
      </c>
      <c r="N7" s="4">
        <v>0.60810810810815463</v>
      </c>
      <c r="O7" s="4">
        <v>0.62500000000004408</v>
      </c>
      <c r="P7" s="4">
        <v>0.63953488372097234</v>
      </c>
      <c r="Q7" s="4">
        <v>0.65217391304351835</v>
      </c>
      <c r="R7" s="4">
        <v>0.66326530612248724</v>
      </c>
    </row>
    <row r="8" spans="1:18" x14ac:dyDescent="0.35">
      <c r="A8" t="s">
        <v>8</v>
      </c>
      <c r="B8" s="2">
        <v>1.2E-2</v>
      </c>
      <c r="G8" s="9">
        <f>G9-$E$3</f>
        <v>0.70000000000000007</v>
      </c>
      <c r="H8" s="4">
        <v>0.42682926829274176</v>
      </c>
      <c r="I8" s="4">
        <v>0.48611111111116839</v>
      </c>
      <c r="J8" s="4">
        <v>0.5303030303030849</v>
      </c>
      <c r="K8" s="4">
        <v>0.56451612903230963</v>
      </c>
      <c r="L8" s="4">
        <v>0.59178743961357494</v>
      </c>
      <c r="M8" s="4">
        <v>0.6140350877193439</v>
      </c>
      <c r="N8" s="4">
        <v>0.63253012048197077</v>
      </c>
      <c r="O8" s="4">
        <v>0.64814814814818889</v>
      </c>
      <c r="P8" s="4">
        <v>0.66151202749144744</v>
      </c>
      <c r="Q8" s="4">
        <v>0.67307692307695965</v>
      </c>
      <c r="R8" s="4">
        <v>0.68318318318321802</v>
      </c>
    </row>
    <row r="9" spans="1:18" x14ac:dyDescent="0.35">
      <c r="A9" t="s">
        <v>2</v>
      </c>
      <c r="B9" s="1">
        <v>0.2</v>
      </c>
      <c r="G9" s="9">
        <f>G10-$E$3</f>
        <v>0.8</v>
      </c>
      <c r="H9" s="4">
        <v>0.45454545454551298</v>
      </c>
      <c r="I9" s="4">
        <v>0.51282051282056862</v>
      </c>
      <c r="J9" s="4">
        <v>0.55555555555560787</v>
      </c>
      <c r="K9" s="4">
        <v>0.58823529411769593</v>
      </c>
      <c r="L9" s="4">
        <v>0.6140350877193439</v>
      </c>
      <c r="M9" s="4">
        <v>0.63492063492067763</v>
      </c>
      <c r="N9" s="4">
        <v>0.65217391304351835</v>
      </c>
      <c r="O9" s="4">
        <v>0.66666666666670438</v>
      </c>
      <c r="P9" s="4">
        <v>0.67901234567904778</v>
      </c>
      <c r="Q9" s="4">
        <v>0.68965517241382657</v>
      </c>
      <c r="R9" s="4">
        <v>0.69892473118282761</v>
      </c>
    </row>
    <row r="10" spans="1:18" x14ac:dyDescent="0.35">
      <c r="B10" s="1"/>
      <c r="G10" s="9">
        <f>G11-$E$3</f>
        <v>0.9</v>
      </c>
      <c r="H10" s="4">
        <v>0.47872340425537668</v>
      </c>
      <c r="I10" s="4">
        <v>0.53571428571433977</v>
      </c>
      <c r="J10" s="4">
        <v>0.57692307692312705</v>
      </c>
      <c r="K10" s="4">
        <v>0.60810810810815463</v>
      </c>
      <c r="L10" s="4">
        <v>0.63253012048197077</v>
      </c>
      <c r="M10" s="4">
        <v>0.65217391304351835</v>
      </c>
      <c r="N10" s="4">
        <v>0.66831683168320566</v>
      </c>
      <c r="O10" s="4">
        <v>0.68181818181821674</v>
      </c>
      <c r="P10" s="4">
        <v>0.6932773109244027</v>
      </c>
      <c r="Q10" s="4">
        <v>0.70312500000003109</v>
      </c>
      <c r="R10" s="4">
        <v>0.71167883211681771</v>
      </c>
    </row>
    <row r="11" spans="1:18" x14ac:dyDescent="0.35">
      <c r="A11" t="s">
        <v>6</v>
      </c>
      <c r="B11" s="1">
        <v>1</v>
      </c>
      <c r="C11" t="s">
        <v>3</v>
      </c>
      <c r="F11" s="7" t="s">
        <v>20</v>
      </c>
      <c r="G11" s="9">
        <v>1</v>
      </c>
      <c r="H11" s="4">
        <v>0.50000000000005651</v>
      </c>
      <c r="I11" s="4">
        <v>0.55555555555560787</v>
      </c>
      <c r="J11" s="4">
        <v>0.59523809523814331</v>
      </c>
      <c r="K11" s="4">
        <v>0.62500000000004408</v>
      </c>
      <c r="L11" s="4">
        <v>0.64814814814818889</v>
      </c>
      <c r="M11" s="6">
        <v>0.66666666666670438</v>
      </c>
      <c r="N11" s="4">
        <v>0.68181818181821674</v>
      </c>
      <c r="O11" s="4">
        <v>0.69444444444447728</v>
      </c>
      <c r="P11" s="4">
        <v>0.70512820512823582</v>
      </c>
      <c r="Q11" s="4">
        <v>0.71428571428574306</v>
      </c>
      <c r="R11" s="4">
        <v>0.72222222222224941</v>
      </c>
    </row>
    <row r="12" spans="1:18" x14ac:dyDescent="0.35">
      <c r="A12" t="s">
        <v>7</v>
      </c>
      <c r="B12" s="4">
        <f>(1+((1+B2)^(1/252)-1)*B11)^252-1</f>
        <v>0.10000000000001696</v>
      </c>
      <c r="G12" s="9">
        <f>G11+$E$3</f>
        <v>1.1000000000000001</v>
      </c>
      <c r="H12" s="4">
        <v>0.51886792452835728</v>
      </c>
      <c r="I12" s="4">
        <v>0.57291666666671714</v>
      </c>
      <c r="J12" s="4">
        <v>0.61111111111115723</v>
      </c>
      <c r="K12" s="4">
        <v>0.63953488372097222</v>
      </c>
      <c r="L12" s="4">
        <v>0.66151202749144755</v>
      </c>
      <c r="M12" s="4">
        <v>0.67901234567904789</v>
      </c>
      <c r="N12" s="4">
        <v>0.69327731092440259</v>
      </c>
      <c r="O12" s="4">
        <v>0.70512820512823582</v>
      </c>
      <c r="P12" s="4">
        <v>0.71513002364069056</v>
      </c>
      <c r="Q12" s="4">
        <v>0.72368421052634269</v>
      </c>
      <c r="R12" s="4">
        <v>0.73108384458080244</v>
      </c>
    </row>
    <row r="13" spans="1:18" x14ac:dyDescent="0.35">
      <c r="B13" s="4"/>
      <c r="G13" s="9">
        <f t="shared" ref="G13:G19" si="0">G12+$E$3</f>
        <v>1.2000000000000002</v>
      </c>
      <c r="H13" s="4">
        <v>0.53571428571433977</v>
      </c>
      <c r="I13" s="4">
        <v>0.58823529411769593</v>
      </c>
      <c r="J13" s="4">
        <v>0.62500000000004419</v>
      </c>
      <c r="K13" s="4">
        <v>0.65217391304351835</v>
      </c>
      <c r="L13" s="4">
        <v>0.67307692307695977</v>
      </c>
      <c r="M13" s="4">
        <v>0.68965517241382668</v>
      </c>
      <c r="N13" s="4">
        <v>0.70312500000003098</v>
      </c>
      <c r="O13" s="4">
        <v>0.71428571428574317</v>
      </c>
      <c r="P13" s="4">
        <v>0.72368421052634269</v>
      </c>
      <c r="Q13" s="4">
        <v>0.73170731707319592</v>
      </c>
      <c r="R13" s="4">
        <v>0.73863636363638729</v>
      </c>
    </row>
    <row r="14" spans="1:18" x14ac:dyDescent="0.35">
      <c r="A14" t="s">
        <v>4</v>
      </c>
      <c r="G14" s="9">
        <f t="shared" si="0"/>
        <v>1.3000000000000003</v>
      </c>
      <c r="H14" s="4">
        <v>0.55084745762717147</v>
      </c>
      <c r="I14" s="4">
        <v>0.60185185185189916</v>
      </c>
      <c r="J14" s="4">
        <v>0.63725490196082679</v>
      </c>
      <c r="K14" s="4">
        <v>0.66326530612248724</v>
      </c>
      <c r="L14" s="4">
        <v>0.68318318318321802</v>
      </c>
      <c r="M14" s="4">
        <v>0.69892473118282761</v>
      </c>
      <c r="N14" s="4">
        <v>0.71167883211681771</v>
      </c>
      <c r="O14" s="4">
        <v>0.72222222222224941</v>
      </c>
      <c r="P14" s="4">
        <v>0.73108384458080256</v>
      </c>
      <c r="Q14" s="4">
        <v>0.73863636363638729</v>
      </c>
      <c r="R14" s="4">
        <v>0.74514991181660073</v>
      </c>
    </row>
    <row r="15" spans="1:18" x14ac:dyDescent="0.35">
      <c r="A15" t="s">
        <v>22</v>
      </c>
      <c r="B15" s="2">
        <f>B2+B5</f>
        <v>0.14000000000000001</v>
      </c>
      <c r="G15" s="9">
        <f t="shared" si="0"/>
        <v>1.4000000000000004</v>
      </c>
      <c r="H15" s="4">
        <v>0.56451612903230963</v>
      </c>
      <c r="I15" s="4">
        <v>0.61403508771934401</v>
      </c>
      <c r="J15" s="4">
        <v>0.64814814814818889</v>
      </c>
      <c r="K15" s="4">
        <v>0.67307692307695977</v>
      </c>
      <c r="L15" s="4">
        <v>0.69209039548025919</v>
      </c>
      <c r="M15" s="4">
        <v>0.70707070707073727</v>
      </c>
      <c r="N15" s="4">
        <v>0.71917808219180868</v>
      </c>
      <c r="O15" s="4">
        <v>0.72916666666669239</v>
      </c>
      <c r="P15" s="4">
        <v>0.7375478927203305</v>
      </c>
      <c r="Q15" s="4">
        <v>0.74468085106385218</v>
      </c>
      <c r="R15" s="4">
        <v>0.75082508250827185</v>
      </c>
    </row>
    <row r="16" spans="1:18" x14ac:dyDescent="0.35">
      <c r="A16" t="s">
        <v>23</v>
      </c>
      <c r="B16" s="2">
        <f>(1+B15)*(1+B8)-1</f>
        <v>0.15368000000000004</v>
      </c>
      <c r="D16" s="2"/>
      <c r="G16" s="9">
        <f t="shared" si="0"/>
        <v>1.5000000000000004</v>
      </c>
      <c r="H16" s="4">
        <v>0.57692307692312705</v>
      </c>
      <c r="I16" s="4">
        <v>0.6250000000000443</v>
      </c>
      <c r="J16" s="4">
        <v>0.6578947368421445</v>
      </c>
      <c r="K16" s="4">
        <v>0.68181818181821696</v>
      </c>
      <c r="L16" s="4">
        <v>0.70000000000003171</v>
      </c>
      <c r="M16" s="4">
        <v>0.71428571428574317</v>
      </c>
      <c r="N16" s="4">
        <v>0.72580645161292967</v>
      </c>
      <c r="O16" s="4">
        <v>0.7352941176470833</v>
      </c>
      <c r="P16" s="4">
        <v>0.74324324324326596</v>
      </c>
      <c r="Q16" s="4">
        <v>0.75000000000002121</v>
      </c>
      <c r="R16" s="4">
        <v>0.75581395348839209</v>
      </c>
    </row>
    <row r="17" spans="1:18" x14ac:dyDescent="0.35">
      <c r="A17" t="s">
        <v>12</v>
      </c>
      <c r="B17" s="2">
        <f>MAX(B9*(B15-B12),0)</f>
        <v>7.9999999999966105E-3</v>
      </c>
      <c r="G17" s="9">
        <f t="shared" si="0"/>
        <v>1.6000000000000005</v>
      </c>
      <c r="H17" s="4">
        <v>0.58823529411769604</v>
      </c>
      <c r="I17" s="4">
        <v>0.63492063492067774</v>
      </c>
      <c r="J17" s="4">
        <v>0.66666666666670438</v>
      </c>
      <c r="K17" s="4">
        <v>0.68965517241382679</v>
      </c>
      <c r="L17" s="4">
        <v>0.70707070707073738</v>
      </c>
      <c r="M17" s="4">
        <v>0.72072072072074822</v>
      </c>
      <c r="N17" s="4">
        <v>0.73170731707319592</v>
      </c>
      <c r="O17" s="4">
        <v>0.74074074074076401</v>
      </c>
      <c r="P17" s="4">
        <v>0.74829931972791275</v>
      </c>
      <c r="Q17" s="4">
        <v>0.75471698113209562</v>
      </c>
      <c r="R17" s="4">
        <v>0.7602339181286738</v>
      </c>
    </row>
    <row r="18" spans="1:18" x14ac:dyDescent="0.35">
      <c r="A18" t="s">
        <v>24</v>
      </c>
      <c r="B18" s="2">
        <f>B16+B17</f>
        <v>0.16167999999999666</v>
      </c>
      <c r="G18" s="9">
        <f t="shared" si="0"/>
        <v>1.7000000000000006</v>
      </c>
      <c r="H18" s="4">
        <v>0.59859154929582248</v>
      </c>
      <c r="I18" s="4">
        <v>0.64393939393943533</v>
      </c>
      <c r="J18" s="4">
        <v>0.67460317460321095</v>
      </c>
      <c r="K18" s="4">
        <v>0.69672131147544225</v>
      </c>
      <c r="L18" s="4">
        <v>0.7134292565947532</v>
      </c>
      <c r="M18" s="4">
        <v>0.72649572649575289</v>
      </c>
      <c r="N18" s="4">
        <v>0.73699421965320322</v>
      </c>
      <c r="O18" s="4">
        <v>0.74561403508774149</v>
      </c>
      <c r="P18" s="4">
        <v>0.75281803542675163</v>
      </c>
      <c r="Q18" s="4">
        <v>0.7589285714285906</v>
      </c>
      <c r="R18" s="4">
        <v>0.764177040110668</v>
      </c>
    </row>
    <row r="19" spans="1:18" x14ac:dyDescent="0.35">
      <c r="G19" s="9">
        <f t="shared" si="0"/>
        <v>1.8000000000000007</v>
      </c>
      <c r="H19" s="4">
        <v>0.60810810810815463</v>
      </c>
      <c r="I19" s="4">
        <v>0.65217391304351846</v>
      </c>
      <c r="J19" s="4">
        <v>0.68181818181821696</v>
      </c>
      <c r="K19" s="4">
        <v>0.70312500000003109</v>
      </c>
      <c r="L19" s="4">
        <v>0.71917808219180879</v>
      </c>
      <c r="M19" s="4">
        <v>0.73170731707319592</v>
      </c>
      <c r="N19" s="4">
        <v>0.74175824175826477</v>
      </c>
      <c r="O19" s="4">
        <v>0.75000000000002121</v>
      </c>
      <c r="P19" s="4">
        <v>0.75688073394497379</v>
      </c>
      <c r="Q19" s="4">
        <v>0.76271186440679795</v>
      </c>
      <c r="R19" s="4">
        <v>0.76771653543308793</v>
      </c>
    </row>
    <row r="20" spans="1:18" x14ac:dyDescent="0.35">
      <c r="A20" t="s">
        <v>13</v>
      </c>
    </row>
    <row r="21" spans="1:18" x14ac:dyDescent="0.35">
      <c r="A21" t="s">
        <v>14</v>
      </c>
      <c r="B21" s="2">
        <f>B8+B17</f>
        <v>1.9999999999996611E-2</v>
      </c>
    </row>
    <row r="22" spans="1:18" x14ac:dyDescent="0.35">
      <c r="A22" t="s">
        <v>15</v>
      </c>
      <c r="B22" s="2">
        <f>B5</f>
        <v>0.04</v>
      </c>
    </row>
    <row r="23" spans="1:18" x14ac:dyDescent="0.35">
      <c r="A23" t="s">
        <v>17</v>
      </c>
      <c r="B23" s="2">
        <f>B22/(B22+B21)</f>
        <v>0.66666666666670438</v>
      </c>
    </row>
  </sheetData>
  <conditionalFormatting sqref="H7:R1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CREDITO (CARREGO)</vt:lpstr>
      <vt:lpstr>CREDITO (ATIVO)</vt:lpstr>
      <vt:lpstr>MULTIMERCADO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Kim</dc:creator>
  <cp:lastModifiedBy>Bom Kim</cp:lastModifiedBy>
  <dcterms:created xsi:type="dcterms:W3CDTF">2024-11-26T07:23:44Z</dcterms:created>
  <dcterms:modified xsi:type="dcterms:W3CDTF">2024-11-28T00:48:03Z</dcterms:modified>
</cp:coreProperties>
</file>